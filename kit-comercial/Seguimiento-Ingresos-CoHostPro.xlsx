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ciones" sheetId="1" state="visible" r:id="rId1"/>
    <sheet xmlns:r="http://schemas.openxmlformats.org/officeDocument/2006/relationships" name="Propiedades" sheetId="2" state="visible" r:id="rId2"/>
    <sheet xmlns:r="http://schemas.openxmlformats.org/officeDocument/2006/relationships" name="Reservas" sheetId="3" state="visible" r:id="rId3"/>
    <sheet xmlns:r="http://schemas.openxmlformats.org/officeDocument/2006/relationships" name="Resume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$#,##0;($#,##0);-"/>
    <numFmt numFmtId="165" formatCode="0.0%"/>
    <numFmt numFmtId="166" formatCode="0.0"/>
  </numFmts>
  <fonts count="9">
    <font>
      <name val="Calibri"/>
      <family val="2"/>
      <color theme="1"/>
      <sz val="11"/>
      <scheme val="minor"/>
    </font>
    <font>
      <name val="Arial"/>
      <b val="1"/>
      <color rgb="00111827"/>
      <sz val="16"/>
    </font>
    <font>
      <name val="Arial"/>
      <color rgb="0064748B"/>
      <sz val="10"/>
    </font>
    <font>
      <name val="Arial"/>
      <b val="1"/>
      <color rgb="00E11D48"/>
      <sz val="12"/>
    </font>
    <font>
      <name val="Arial"/>
      <color rgb="00000000"/>
      <sz val="10"/>
    </font>
    <font>
      <name val="Arial"/>
      <b val="1"/>
      <color rgb="00FFFFFF"/>
      <sz val="10"/>
    </font>
    <font>
      <name val="Arial"/>
      <color rgb="000000FF"/>
      <sz val="10"/>
    </font>
    <font>
      <name val="Arial"/>
      <b val="1"/>
      <color rgb="00111827"/>
      <sz val="10"/>
    </font>
    <font>
      <name val="Arial"/>
      <b val="1"/>
      <color rgb="00111827"/>
      <sz val="12"/>
    </font>
  </fonts>
  <fills count="5">
    <fill>
      <patternFill/>
    </fill>
    <fill>
      <patternFill patternType="gray125"/>
    </fill>
    <fill>
      <patternFill patternType="solid">
        <fgColor rgb="00E11D48"/>
      </patternFill>
    </fill>
    <fill>
      <patternFill patternType="solid">
        <fgColor rgb="00F1F5F9"/>
      </patternFill>
    </fill>
    <fill>
      <patternFill patternType="solid">
        <fgColor rgb="00F8FAFC"/>
      </patternFill>
    </fill>
  </fills>
  <borders count="2">
    <border>
      <left/>
      <right/>
      <top/>
      <bottom/>
      <diagonal/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applyAlignment="1" pivotButton="0" quotePrefix="0" xfId="0">
      <alignment vertical="top" wrapText="1"/>
    </xf>
    <xf numFmtId="0" fontId="5" fillId="2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left" vertical="center"/>
    </xf>
    <xf numFmtId="164" fontId="6" fillId="0" borderId="1" applyAlignment="1" pivotButton="0" quotePrefix="0" xfId="0">
      <alignment horizontal="right" vertical="center"/>
    </xf>
    <xf numFmtId="165" fontId="6" fillId="0" borderId="1" applyAlignment="1" pivotButton="0" quotePrefix="0" xfId="0">
      <alignment horizontal="center" vertical="center"/>
    </xf>
    <xf numFmtId="166" fontId="4" fillId="0" borderId="1" applyAlignment="1" pivotButton="0" quotePrefix="0" xfId="0">
      <alignment horizontal="right" vertical="center"/>
    </xf>
    <xf numFmtId="164" fontId="4" fillId="0" borderId="1" applyAlignment="1" pivotButton="0" quotePrefix="0" xfId="0">
      <alignment horizontal="right" vertical="center"/>
    </xf>
    <xf numFmtId="0" fontId="6" fillId="3" borderId="1" applyAlignment="1" pivotButton="0" quotePrefix="0" xfId="0">
      <alignment horizontal="left" vertical="center"/>
    </xf>
    <xf numFmtId="164" fontId="6" fillId="3" borderId="1" applyAlignment="1" pivotButton="0" quotePrefix="0" xfId="0">
      <alignment horizontal="right" vertical="center"/>
    </xf>
    <xf numFmtId="165" fontId="6" fillId="3" borderId="1" applyAlignment="1" pivotButton="0" quotePrefix="0" xfId="0">
      <alignment horizontal="center" vertical="center"/>
    </xf>
    <xf numFmtId="166" fontId="4" fillId="3" borderId="1" applyAlignment="1" pivotButton="0" quotePrefix="0" xfId="0">
      <alignment horizontal="right" vertical="center"/>
    </xf>
    <xf numFmtId="164" fontId="4" fillId="3" borderId="1" applyAlignment="1" pivotButton="0" quotePrefix="0" xfId="0">
      <alignment horizontal="right" vertical="center"/>
    </xf>
    <xf numFmtId="0" fontId="7" fillId="4" borderId="0" pivotButton="0" quotePrefix="0" xfId="0"/>
    <xf numFmtId="164" fontId="7" fillId="4" borderId="0" applyAlignment="1" pivotButton="0" quotePrefix="0" xfId="0">
      <alignment horizontal="right" vertical="center"/>
    </xf>
    <xf numFmtId="0" fontId="6" fillId="0" borderId="1" applyAlignment="1" pivotButton="0" quotePrefix="0" xfId="0">
      <alignment horizontal="center" vertical="center"/>
    </xf>
    <xf numFmtId="0" fontId="6" fillId="3" borderId="1" applyAlignment="1" pivotButton="0" quotePrefix="0" xfId="0">
      <alignment horizontal="center" vertical="center"/>
    </xf>
    <xf numFmtId="0" fontId="7" fillId="4" borderId="1" applyAlignment="1" pivotButton="0" quotePrefix="0" xfId="0">
      <alignment horizontal="left" vertical="center"/>
    </xf>
    <xf numFmtId="164" fontId="3" fillId="4" borderId="1" applyAlignment="1" pivotButton="0" quotePrefix="0" xfId="0">
      <alignment horizontal="right" vertical="center"/>
    </xf>
    <xf numFmtId="164" fontId="8" fillId="4" borderId="1" applyAlignment="1" pivotButton="0" quotePrefix="0" xfId="0">
      <alignment horizontal="right" vertical="center"/>
    </xf>
    <xf numFmtId="1" fontId="8" fillId="4" borderId="1" applyAlignment="1" pivotButton="0" quotePrefix="0" xfId="0">
      <alignment horizontal="right" vertical="center"/>
    </xf>
    <xf numFmtId="0" fontId="4" fillId="0" borderId="1" applyAlignment="1" pivotButton="0" quotePrefix="0" xfId="0">
      <alignment horizontal="left" vertical="center"/>
    </xf>
    <xf numFmtId="0" fontId="4" fillId="0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left" vertical="center"/>
    </xf>
    <xf numFmtId="0" fontId="4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00" customWidth="1" min="2" max="2"/>
  </cols>
  <sheetData>
    <row r="1">
      <c r="A1" s="1" t="inlineStr">
        <is>
          <t>CoHost Pro — Seguimiento de Ingresos</t>
        </is>
      </c>
    </row>
    <row r="2">
      <c r="A2" s="2" t="inlineStr">
        <is>
          <t>Sistema para controlar tus comisiones de co-hosting en Airbnb</t>
        </is>
      </c>
    </row>
    <row r="5">
      <c r="B5" s="3" t="inlineStr">
        <is>
          <t>Cómo usar este archivo</t>
        </is>
      </c>
    </row>
    <row r="6" ht="30" customHeight="1">
      <c r="B6" s="4" t="inlineStr">
        <is>
          <t>1. Propiedades — Registra cada propiedad que administras: tarifa, ocupación estimada y tu comisión. La hoja calcula sola tu ingreso mensual proyectado.</t>
        </is>
      </c>
    </row>
    <row r="7" ht="30" customHeight="1">
      <c r="B7" s="4" t="inlineStr">
        <is>
          <t>2. Reservas — Anota cada reserva real. La hoja calcula el ingreso bruto y tu comisión automáticamente.</t>
        </is>
      </c>
    </row>
    <row r="8" ht="30" customHeight="1">
      <c r="B8" s="4" t="inlineStr">
        <is>
          <t>3. Resumen — Ve tus totales: comisión real ganada, comisión proyectada y desglose por propiedad. Todo se actualiza solo.</t>
        </is>
      </c>
    </row>
    <row r="10">
      <c r="B10" s="3" t="inlineStr">
        <is>
          <t>Código de colores</t>
        </is>
      </c>
    </row>
    <row r="11" ht="30" customHeight="1">
      <c r="B11" s="4" t="inlineStr">
        <is>
          <t>Celdas azules — Son las que TÚ editas (datos que capturas).</t>
        </is>
      </c>
    </row>
    <row r="12" ht="30" customHeight="1">
      <c r="B12" s="4" t="inlineStr">
        <is>
          <t>Celdas negras — Son fórmulas automáticas. No las toques: se calculan solas.</t>
        </is>
      </c>
    </row>
    <row r="13" ht="30" customHeight="1">
      <c r="B13" s="4" t="inlineStr">
        <is>
          <t>Celdas amarillas — Supuestos clave que puedes ajustar (por ejemplo, comisión por defecto).</t>
        </is>
      </c>
    </row>
    <row r="15" ht="30" customHeight="1">
      <c r="B15" s="4" t="inlineStr">
        <is>
          <t>Consejo — Empieza cargando tus propiedades en la hoja "Propiedades". Luego cada vez que cierres una reserva, agrégala en "Reservas".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34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2" customWidth="1" min="1" max="1"/>
    <col width="18" customWidth="1" min="2" max="2"/>
    <col width="14" customWidth="1" min="3" max="3"/>
    <col width="13" customWidth="1" min="4" max="4"/>
    <col width="11" customWidth="1" min="5" max="5"/>
    <col width="11" customWidth="1" min="6" max="6"/>
    <col width="15" customWidth="1" min="7" max="7"/>
    <col width="11" customWidth="1" min="8" max="8"/>
    <col width="17" customWidth="1" min="9" max="9"/>
    <col width="16" customWidth="1" min="10" max="10"/>
    <col width="15" customWidth="1" min="11" max="11"/>
  </cols>
  <sheetData>
    <row r="1">
      <c r="A1" s="1" t="inlineStr">
        <is>
          <t>Propiedades administradas</t>
        </is>
      </c>
    </row>
    <row r="3">
      <c r="A3" s="5" t="inlineStr">
        <is>
          <t>Propiedad</t>
        </is>
      </c>
      <c r="B3" s="5" t="inlineStr">
        <is>
          <t>Dueño</t>
        </is>
      </c>
      <c r="C3" s="5" t="inlineStr">
        <is>
          <t>Ciudad</t>
        </is>
      </c>
      <c r="D3" s="5" t="inlineStr">
        <is>
          <t>Tarifa/noche</t>
        </is>
      </c>
      <c r="E3" s="5" t="inlineStr">
        <is>
          <t>Ocupación</t>
        </is>
      </c>
      <c r="F3" s="5" t="inlineStr">
        <is>
          <t>Comisión %</t>
        </is>
      </c>
      <c r="G3" s="5" t="inlineStr">
        <is>
          <t>Costos mensuales</t>
        </is>
      </c>
      <c r="H3" s="5" t="inlineStr">
        <is>
          <t>Noches/mes</t>
        </is>
      </c>
      <c r="I3" s="5" t="inlineStr">
        <is>
          <t>Ingreso bruto/mes</t>
        </is>
      </c>
      <c r="J3" s="5" t="inlineStr">
        <is>
          <t>Tu comisión/mes</t>
        </is>
      </c>
      <c r="K3" s="5" t="inlineStr">
        <is>
          <t>Neto dueño/mes</t>
        </is>
      </c>
    </row>
    <row r="4">
      <c r="A4" s="6" t="inlineStr">
        <is>
          <t>Depto Centro 2R</t>
        </is>
      </c>
      <c r="B4" s="6" t="inlineStr">
        <is>
          <t>Ana Martínez</t>
        </is>
      </c>
      <c r="C4" s="6" t="inlineStr">
        <is>
          <t>CDMX</t>
        </is>
      </c>
      <c r="D4" s="7" t="n">
        <v>80</v>
      </c>
      <c r="E4" s="8" t="n">
        <v>0.65</v>
      </c>
      <c r="F4" s="8" t="n">
        <v>0.2</v>
      </c>
      <c r="G4" s="7" t="n">
        <v>150</v>
      </c>
      <c r="H4" s="9">
        <f>IF(D4="","",30*E4)</f>
        <v/>
      </c>
      <c r="I4" s="10">
        <f>IF(D4="","",D4*H4)</f>
        <v/>
      </c>
      <c r="J4" s="10">
        <f>IF(D4="","",I4*F4)</f>
        <v/>
      </c>
      <c r="K4" s="10">
        <f>IF(D4="","",I4-J4-G4)</f>
        <v/>
      </c>
    </row>
    <row r="5">
      <c r="A5" s="11" t="n"/>
      <c r="B5" s="11" t="n"/>
      <c r="C5" s="11" t="n"/>
      <c r="D5" s="12" t="n"/>
      <c r="E5" s="13" t="n"/>
      <c r="F5" s="13" t="n"/>
      <c r="G5" s="12" t="n"/>
      <c r="H5" s="14">
        <f>IF(D5="","",30*E5)</f>
        <v/>
      </c>
      <c r="I5" s="15">
        <f>IF(D5="","",D5*H5)</f>
        <v/>
      </c>
      <c r="J5" s="15">
        <f>IF(D5="","",I5*F5)</f>
        <v/>
      </c>
      <c r="K5" s="15">
        <f>IF(D5="","",I5-J5-G5)</f>
        <v/>
      </c>
    </row>
    <row r="6">
      <c r="A6" s="6" t="n"/>
      <c r="B6" s="6" t="n"/>
      <c r="C6" s="6" t="n"/>
      <c r="D6" s="7" t="n"/>
      <c r="E6" s="8" t="n"/>
      <c r="F6" s="8" t="n"/>
      <c r="G6" s="7" t="n"/>
      <c r="H6" s="9">
        <f>IF(D6="","",30*E6)</f>
        <v/>
      </c>
      <c r="I6" s="10">
        <f>IF(D6="","",D6*H6)</f>
        <v/>
      </c>
      <c r="J6" s="10">
        <f>IF(D6="","",I6*F6)</f>
        <v/>
      </c>
      <c r="K6" s="10">
        <f>IF(D6="","",I6-J6-G6)</f>
        <v/>
      </c>
    </row>
    <row r="7">
      <c r="A7" s="11" t="n"/>
      <c r="B7" s="11" t="n"/>
      <c r="C7" s="11" t="n"/>
      <c r="D7" s="12" t="n"/>
      <c r="E7" s="13" t="n"/>
      <c r="F7" s="13" t="n"/>
      <c r="G7" s="12" t="n"/>
      <c r="H7" s="14">
        <f>IF(D7="","",30*E7)</f>
        <v/>
      </c>
      <c r="I7" s="15">
        <f>IF(D7="","",D7*H7)</f>
        <v/>
      </c>
      <c r="J7" s="15">
        <f>IF(D7="","",I7*F7)</f>
        <v/>
      </c>
      <c r="K7" s="15">
        <f>IF(D7="","",I7-J7-G7)</f>
        <v/>
      </c>
    </row>
    <row r="8">
      <c r="A8" s="6" t="n"/>
      <c r="B8" s="6" t="n"/>
      <c r="C8" s="6" t="n"/>
      <c r="D8" s="7" t="n"/>
      <c r="E8" s="8" t="n"/>
      <c r="F8" s="8" t="n"/>
      <c r="G8" s="7" t="n"/>
      <c r="H8" s="9">
        <f>IF(D8="","",30*E8)</f>
        <v/>
      </c>
      <c r="I8" s="10">
        <f>IF(D8="","",D8*H8)</f>
        <v/>
      </c>
      <c r="J8" s="10">
        <f>IF(D8="","",I8*F8)</f>
        <v/>
      </c>
      <c r="K8" s="10">
        <f>IF(D8="","",I8-J8-G8)</f>
        <v/>
      </c>
    </row>
    <row r="9">
      <c r="A9" s="11" t="n"/>
      <c r="B9" s="11" t="n"/>
      <c r="C9" s="11" t="n"/>
      <c r="D9" s="12" t="n"/>
      <c r="E9" s="13" t="n"/>
      <c r="F9" s="13" t="n"/>
      <c r="G9" s="12" t="n"/>
      <c r="H9" s="14">
        <f>IF(D9="","",30*E9)</f>
        <v/>
      </c>
      <c r="I9" s="15">
        <f>IF(D9="","",D9*H9)</f>
        <v/>
      </c>
      <c r="J9" s="15">
        <f>IF(D9="","",I9*F9)</f>
        <v/>
      </c>
      <c r="K9" s="15">
        <f>IF(D9="","",I9-J9-G9)</f>
        <v/>
      </c>
    </row>
    <row r="10">
      <c r="A10" s="6" t="n"/>
      <c r="B10" s="6" t="n"/>
      <c r="C10" s="6" t="n"/>
      <c r="D10" s="7" t="n"/>
      <c r="E10" s="8" t="n"/>
      <c r="F10" s="8" t="n"/>
      <c r="G10" s="7" t="n"/>
      <c r="H10" s="9">
        <f>IF(D10="","",30*E10)</f>
        <v/>
      </c>
      <c r="I10" s="10">
        <f>IF(D10="","",D10*H10)</f>
        <v/>
      </c>
      <c r="J10" s="10">
        <f>IF(D10="","",I10*F10)</f>
        <v/>
      </c>
      <c r="K10" s="10">
        <f>IF(D10="","",I10-J10-G10)</f>
        <v/>
      </c>
    </row>
    <row r="11">
      <c r="A11" s="11" t="n"/>
      <c r="B11" s="11" t="n"/>
      <c r="C11" s="11" t="n"/>
      <c r="D11" s="12" t="n"/>
      <c r="E11" s="13" t="n"/>
      <c r="F11" s="13" t="n"/>
      <c r="G11" s="12" t="n"/>
      <c r="H11" s="14">
        <f>IF(D11="","",30*E11)</f>
        <v/>
      </c>
      <c r="I11" s="15">
        <f>IF(D11="","",D11*H11)</f>
        <v/>
      </c>
      <c r="J11" s="15">
        <f>IF(D11="","",I11*F11)</f>
        <v/>
      </c>
      <c r="K11" s="15">
        <f>IF(D11="","",I11-J11-G11)</f>
        <v/>
      </c>
    </row>
    <row r="12">
      <c r="A12" s="6" t="n"/>
      <c r="B12" s="6" t="n"/>
      <c r="C12" s="6" t="n"/>
      <c r="D12" s="7" t="n"/>
      <c r="E12" s="8" t="n"/>
      <c r="F12" s="8" t="n"/>
      <c r="G12" s="7" t="n"/>
      <c r="H12" s="9">
        <f>IF(D12="","",30*E12)</f>
        <v/>
      </c>
      <c r="I12" s="10">
        <f>IF(D12="","",D12*H12)</f>
        <v/>
      </c>
      <c r="J12" s="10">
        <f>IF(D12="","",I12*F12)</f>
        <v/>
      </c>
      <c r="K12" s="10">
        <f>IF(D12="","",I12-J12-G12)</f>
        <v/>
      </c>
    </row>
    <row r="13">
      <c r="A13" s="11" t="n"/>
      <c r="B13" s="11" t="n"/>
      <c r="C13" s="11" t="n"/>
      <c r="D13" s="12" t="n"/>
      <c r="E13" s="13" t="n"/>
      <c r="F13" s="13" t="n"/>
      <c r="G13" s="12" t="n"/>
      <c r="H13" s="14">
        <f>IF(D13="","",30*E13)</f>
        <v/>
      </c>
      <c r="I13" s="15">
        <f>IF(D13="","",D13*H13)</f>
        <v/>
      </c>
      <c r="J13" s="15">
        <f>IF(D13="","",I13*F13)</f>
        <v/>
      </c>
      <c r="K13" s="15">
        <f>IF(D13="","",I13-J13-G13)</f>
        <v/>
      </c>
    </row>
    <row r="14">
      <c r="A14" s="6" t="n"/>
      <c r="B14" s="6" t="n"/>
      <c r="C14" s="6" t="n"/>
      <c r="D14" s="7" t="n"/>
      <c r="E14" s="8" t="n"/>
      <c r="F14" s="8" t="n"/>
      <c r="G14" s="7" t="n"/>
      <c r="H14" s="9">
        <f>IF(D14="","",30*E14)</f>
        <v/>
      </c>
      <c r="I14" s="10">
        <f>IF(D14="","",D14*H14)</f>
        <v/>
      </c>
      <c r="J14" s="10">
        <f>IF(D14="","",I14*F14)</f>
        <v/>
      </c>
      <c r="K14" s="10">
        <f>IF(D14="","",I14-J14-G14)</f>
        <v/>
      </c>
    </row>
    <row r="15">
      <c r="A15" s="11" t="n"/>
      <c r="B15" s="11" t="n"/>
      <c r="C15" s="11" t="n"/>
      <c r="D15" s="12" t="n"/>
      <c r="E15" s="13" t="n"/>
      <c r="F15" s="13" t="n"/>
      <c r="G15" s="12" t="n"/>
      <c r="H15" s="14">
        <f>IF(D15="","",30*E15)</f>
        <v/>
      </c>
      <c r="I15" s="15">
        <f>IF(D15="","",D15*H15)</f>
        <v/>
      </c>
      <c r="J15" s="15">
        <f>IF(D15="","",I15*F15)</f>
        <v/>
      </c>
      <c r="K15" s="15">
        <f>IF(D15="","",I15-J15-G15)</f>
        <v/>
      </c>
    </row>
    <row r="16">
      <c r="A16" s="6" t="n"/>
      <c r="B16" s="6" t="n"/>
      <c r="C16" s="6" t="n"/>
      <c r="D16" s="7" t="n"/>
      <c r="E16" s="8" t="n"/>
      <c r="F16" s="8" t="n"/>
      <c r="G16" s="7" t="n"/>
      <c r="H16" s="9">
        <f>IF(D16="","",30*E16)</f>
        <v/>
      </c>
      <c r="I16" s="10">
        <f>IF(D16="","",D16*H16)</f>
        <v/>
      </c>
      <c r="J16" s="10">
        <f>IF(D16="","",I16*F16)</f>
        <v/>
      </c>
      <c r="K16" s="10">
        <f>IF(D16="","",I16-J16-G16)</f>
        <v/>
      </c>
    </row>
    <row r="17">
      <c r="A17" s="11" t="n"/>
      <c r="B17" s="11" t="n"/>
      <c r="C17" s="11" t="n"/>
      <c r="D17" s="12" t="n"/>
      <c r="E17" s="13" t="n"/>
      <c r="F17" s="13" t="n"/>
      <c r="G17" s="12" t="n"/>
      <c r="H17" s="14">
        <f>IF(D17="","",30*E17)</f>
        <v/>
      </c>
      <c r="I17" s="15">
        <f>IF(D17="","",D17*H17)</f>
        <v/>
      </c>
      <c r="J17" s="15">
        <f>IF(D17="","",I17*F17)</f>
        <v/>
      </c>
      <c r="K17" s="15">
        <f>IF(D17="","",I17-J17-G17)</f>
        <v/>
      </c>
    </row>
    <row r="18">
      <c r="A18" s="6" t="n"/>
      <c r="B18" s="6" t="n"/>
      <c r="C18" s="6" t="n"/>
      <c r="D18" s="7" t="n"/>
      <c r="E18" s="8" t="n"/>
      <c r="F18" s="8" t="n"/>
      <c r="G18" s="7" t="n"/>
      <c r="H18" s="9">
        <f>IF(D18="","",30*E18)</f>
        <v/>
      </c>
      <c r="I18" s="10">
        <f>IF(D18="","",D18*H18)</f>
        <v/>
      </c>
      <c r="J18" s="10">
        <f>IF(D18="","",I18*F18)</f>
        <v/>
      </c>
      <c r="K18" s="10">
        <f>IF(D18="","",I18-J18-G18)</f>
        <v/>
      </c>
    </row>
    <row r="19">
      <c r="A19" s="11" t="n"/>
      <c r="B19" s="11" t="n"/>
      <c r="C19" s="11" t="n"/>
      <c r="D19" s="12" t="n"/>
      <c r="E19" s="13" t="n"/>
      <c r="F19" s="13" t="n"/>
      <c r="G19" s="12" t="n"/>
      <c r="H19" s="14">
        <f>IF(D19="","",30*E19)</f>
        <v/>
      </c>
      <c r="I19" s="15">
        <f>IF(D19="","",D19*H19)</f>
        <v/>
      </c>
      <c r="J19" s="15">
        <f>IF(D19="","",I19*F19)</f>
        <v/>
      </c>
      <c r="K19" s="15">
        <f>IF(D19="","",I19-J19-G19)</f>
        <v/>
      </c>
    </row>
    <row r="20">
      <c r="A20" s="6" t="n"/>
      <c r="B20" s="6" t="n"/>
      <c r="C20" s="6" t="n"/>
      <c r="D20" s="7" t="n"/>
      <c r="E20" s="8" t="n"/>
      <c r="F20" s="8" t="n"/>
      <c r="G20" s="7" t="n"/>
      <c r="H20" s="9">
        <f>IF(D20="","",30*E20)</f>
        <v/>
      </c>
      <c r="I20" s="10">
        <f>IF(D20="","",D20*H20)</f>
        <v/>
      </c>
      <c r="J20" s="10">
        <f>IF(D20="","",I20*F20)</f>
        <v/>
      </c>
      <c r="K20" s="10">
        <f>IF(D20="","",I20-J20-G20)</f>
        <v/>
      </c>
    </row>
    <row r="21">
      <c r="A21" s="11" t="n"/>
      <c r="B21" s="11" t="n"/>
      <c r="C21" s="11" t="n"/>
      <c r="D21" s="12" t="n"/>
      <c r="E21" s="13" t="n"/>
      <c r="F21" s="13" t="n"/>
      <c r="G21" s="12" t="n"/>
      <c r="H21" s="14">
        <f>IF(D21="","",30*E21)</f>
        <v/>
      </c>
      <c r="I21" s="15">
        <f>IF(D21="","",D21*H21)</f>
        <v/>
      </c>
      <c r="J21" s="15">
        <f>IF(D21="","",I21*F21)</f>
        <v/>
      </c>
      <c r="K21" s="15">
        <f>IF(D21="","",I21-J21-G21)</f>
        <v/>
      </c>
    </row>
    <row r="22">
      <c r="A22" s="6" t="n"/>
      <c r="B22" s="6" t="n"/>
      <c r="C22" s="6" t="n"/>
      <c r="D22" s="7" t="n"/>
      <c r="E22" s="8" t="n"/>
      <c r="F22" s="8" t="n"/>
      <c r="G22" s="7" t="n"/>
      <c r="H22" s="9">
        <f>IF(D22="","",30*E22)</f>
        <v/>
      </c>
      <c r="I22" s="10">
        <f>IF(D22="","",D22*H22)</f>
        <v/>
      </c>
      <c r="J22" s="10">
        <f>IF(D22="","",I22*F22)</f>
        <v/>
      </c>
      <c r="K22" s="10">
        <f>IF(D22="","",I22-J22-G22)</f>
        <v/>
      </c>
    </row>
    <row r="23">
      <c r="A23" s="11" t="n"/>
      <c r="B23" s="11" t="n"/>
      <c r="C23" s="11" t="n"/>
      <c r="D23" s="12" t="n"/>
      <c r="E23" s="13" t="n"/>
      <c r="F23" s="13" t="n"/>
      <c r="G23" s="12" t="n"/>
      <c r="H23" s="14">
        <f>IF(D23="","",30*E23)</f>
        <v/>
      </c>
      <c r="I23" s="15">
        <f>IF(D23="","",D23*H23)</f>
        <v/>
      </c>
      <c r="J23" s="15">
        <f>IF(D23="","",I23*F23)</f>
        <v/>
      </c>
      <c r="K23" s="15">
        <f>IF(D23="","",I23-J23-G23)</f>
        <v/>
      </c>
    </row>
    <row r="24">
      <c r="A24" s="6" t="n"/>
      <c r="B24" s="6" t="n"/>
      <c r="C24" s="6" t="n"/>
      <c r="D24" s="7" t="n"/>
      <c r="E24" s="8" t="n"/>
      <c r="F24" s="8" t="n"/>
      <c r="G24" s="7" t="n"/>
      <c r="H24" s="9">
        <f>IF(D24="","",30*E24)</f>
        <v/>
      </c>
      <c r="I24" s="10">
        <f>IF(D24="","",D24*H24)</f>
        <v/>
      </c>
      <c r="J24" s="10">
        <f>IF(D24="","",I24*F24)</f>
        <v/>
      </c>
      <c r="K24" s="10">
        <f>IF(D24="","",I24-J24-G24)</f>
        <v/>
      </c>
    </row>
    <row r="25">
      <c r="A25" s="11" t="n"/>
      <c r="B25" s="11" t="n"/>
      <c r="C25" s="11" t="n"/>
      <c r="D25" s="12" t="n"/>
      <c r="E25" s="13" t="n"/>
      <c r="F25" s="13" t="n"/>
      <c r="G25" s="12" t="n"/>
      <c r="H25" s="14">
        <f>IF(D25="","",30*E25)</f>
        <v/>
      </c>
      <c r="I25" s="15">
        <f>IF(D25="","",D25*H25)</f>
        <v/>
      </c>
      <c r="J25" s="15">
        <f>IF(D25="","",I25*F25)</f>
        <v/>
      </c>
      <c r="K25" s="15">
        <f>IF(D25="","",I25-J25-G25)</f>
        <v/>
      </c>
    </row>
    <row r="26">
      <c r="A26" s="6" t="n"/>
      <c r="B26" s="6" t="n"/>
      <c r="C26" s="6" t="n"/>
      <c r="D26" s="7" t="n"/>
      <c r="E26" s="8" t="n"/>
      <c r="F26" s="8" t="n"/>
      <c r="G26" s="7" t="n"/>
      <c r="H26" s="9">
        <f>IF(D26="","",30*E26)</f>
        <v/>
      </c>
      <c r="I26" s="10">
        <f>IF(D26="","",D26*H26)</f>
        <v/>
      </c>
      <c r="J26" s="10">
        <f>IF(D26="","",I26*F26)</f>
        <v/>
      </c>
      <c r="K26" s="10">
        <f>IF(D26="","",I26-J26-G26)</f>
        <v/>
      </c>
    </row>
    <row r="27">
      <c r="A27" s="11" t="n"/>
      <c r="B27" s="11" t="n"/>
      <c r="C27" s="11" t="n"/>
      <c r="D27" s="12" t="n"/>
      <c r="E27" s="13" t="n"/>
      <c r="F27" s="13" t="n"/>
      <c r="G27" s="12" t="n"/>
      <c r="H27" s="14">
        <f>IF(D27="","",30*E27)</f>
        <v/>
      </c>
      <c r="I27" s="15">
        <f>IF(D27="","",D27*H27)</f>
        <v/>
      </c>
      <c r="J27" s="15">
        <f>IF(D27="","",I27*F27)</f>
        <v/>
      </c>
      <c r="K27" s="15">
        <f>IF(D27="","",I27-J27-G27)</f>
        <v/>
      </c>
    </row>
    <row r="28">
      <c r="A28" s="6" t="n"/>
      <c r="B28" s="6" t="n"/>
      <c r="C28" s="6" t="n"/>
      <c r="D28" s="7" t="n"/>
      <c r="E28" s="8" t="n"/>
      <c r="F28" s="8" t="n"/>
      <c r="G28" s="7" t="n"/>
      <c r="H28" s="9">
        <f>IF(D28="","",30*E28)</f>
        <v/>
      </c>
      <c r="I28" s="10">
        <f>IF(D28="","",D28*H28)</f>
        <v/>
      </c>
      <c r="J28" s="10">
        <f>IF(D28="","",I28*F28)</f>
        <v/>
      </c>
      <c r="K28" s="10">
        <f>IF(D28="","",I28-J28-G28)</f>
        <v/>
      </c>
    </row>
    <row r="29">
      <c r="A29" s="11" t="n"/>
      <c r="B29" s="11" t="n"/>
      <c r="C29" s="11" t="n"/>
      <c r="D29" s="12" t="n"/>
      <c r="E29" s="13" t="n"/>
      <c r="F29" s="13" t="n"/>
      <c r="G29" s="12" t="n"/>
      <c r="H29" s="14">
        <f>IF(D29="","",30*E29)</f>
        <v/>
      </c>
      <c r="I29" s="15">
        <f>IF(D29="","",D29*H29)</f>
        <v/>
      </c>
      <c r="J29" s="15">
        <f>IF(D29="","",I29*F29)</f>
        <v/>
      </c>
      <c r="K29" s="15">
        <f>IF(D29="","",I29-J29-G29)</f>
        <v/>
      </c>
    </row>
    <row r="30">
      <c r="A30" s="6" t="n"/>
      <c r="B30" s="6" t="n"/>
      <c r="C30" s="6" t="n"/>
      <c r="D30" s="7" t="n"/>
      <c r="E30" s="8" t="n"/>
      <c r="F30" s="8" t="n"/>
      <c r="G30" s="7" t="n"/>
      <c r="H30" s="9">
        <f>IF(D30="","",30*E30)</f>
        <v/>
      </c>
      <c r="I30" s="10">
        <f>IF(D30="","",D30*H30)</f>
        <v/>
      </c>
      <c r="J30" s="10">
        <f>IF(D30="","",I30*F30)</f>
        <v/>
      </c>
      <c r="K30" s="10">
        <f>IF(D30="","",I30-J30-G30)</f>
        <v/>
      </c>
    </row>
    <row r="31">
      <c r="A31" s="11" t="n"/>
      <c r="B31" s="11" t="n"/>
      <c r="C31" s="11" t="n"/>
      <c r="D31" s="12" t="n"/>
      <c r="E31" s="13" t="n"/>
      <c r="F31" s="13" t="n"/>
      <c r="G31" s="12" t="n"/>
      <c r="H31" s="14">
        <f>IF(D31="","",30*E31)</f>
        <v/>
      </c>
      <c r="I31" s="15">
        <f>IF(D31="","",D31*H31)</f>
        <v/>
      </c>
      <c r="J31" s="15">
        <f>IF(D31="","",I31*F31)</f>
        <v/>
      </c>
      <c r="K31" s="15">
        <f>IF(D31="","",I31-J31-G31)</f>
        <v/>
      </c>
    </row>
    <row r="32">
      <c r="A32" s="6" t="n"/>
      <c r="B32" s="6" t="n"/>
      <c r="C32" s="6" t="n"/>
      <c r="D32" s="7" t="n"/>
      <c r="E32" s="8" t="n"/>
      <c r="F32" s="8" t="n"/>
      <c r="G32" s="7" t="n"/>
      <c r="H32" s="9">
        <f>IF(D32="","",30*E32)</f>
        <v/>
      </c>
      <c r="I32" s="10">
        <f>IF(D32="","",D32*H32)</f>
        <v/>
      </c>
      <c r="J32" s="10">
        <f>IF(D32="","",I32*F32)</f>
        <v/>
      </c>
      <c r="K32" s="10">
        <f>IF(D32="","",I32-J32-G32)</f>
        <v/>
      </c>
    </row>
    <row r="33">
      <c r="A33" s="11" t="n"/>
      <c r="B33" s="11" t="n"/>
      <c r="C33" s="11" t="n"/>
      <c r="D33" s="12" t="n"/>
      <c r="E33" s="13" t="n"/>
      <c r="F33" s="13" t="n"/>
      <c r="G33" s="12" t="n"/>
      <c r="H33" s="14">
        <f>IF(D33="","",30*E33)</f>
        <v/>
      </c>
      <c r="I33" s="15">
        <f>IF(D33="","",D33*H33)</f>
        <v/>
      </c>
      <c r="J33" s="15">
        <f>IF(D33="","",I33*F33)</f>
        <v/>
      </c>
      <c r="K33" s="15">
        <f>IF(D33="","",I33-J33-G33)</f>
        <v/>
      </c>
    </row>
    <row r="34">
      <c r="A34" s="16" t="inlineStr">
        <is>
          <t>TOTAL</t>
        </is>
      </c>
      <c r="I34" s="17">
        <f>SUM(I4:I33)</f>
        <v/>
      </c>
      <c r="J34" s="17">
        <f>SUM(J4:J33)</f>
        <v/>
      </c>
      <c r="K34" s="17">
        <f>SUM(K4:K33)</f>
        <v/>
      </c>
    </row>
  </sheetData>
  <mergeCells count="1">
    <mergeCell ref="A1:K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63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3" customWidth="1" min="1" max="1"/>
    <col width="20" customWidth="1" min="2" max="2"/>
    <col width="18" customWidth="1" min="3" max="3"/>
    <col width="9" customWidth="1" min="4" max="4"/>
    <col width="13" customWidth="1" min="5" max="5"/>
    <col width="13" customWidth="1" min="6" max="6"/>
    <col width="11" customWidth="1" min="7" max="7"/>
    <col width="15" customWidth="1" min="8" max="8"/>
    <col width="14" customWidth="1" min="9" max="9"/>
    <col width="13" customWidth="1" min="10" max="10"/>
  </cols>
  <sheetData>
    <row r="1">
      <c r="A1" s="1" t="inlineStr">
        <is>
          <t>Registro de reservas</t>
        </is>
      </c>
    </row>
    <row r="3">
      <c r="A3" s="5" t="inlineStr">
        <is>
          <t>Check-in</t>
        </is>
      </c>
      <c r="B3" s="5" t="inlineStr">
        <is>
          <t>Propiedad</t>
        </is>
      </c>
      <c r="C3" s="5" t="inlineStr">
        <is>
          <t>Huésped</t>
        </is>
      </c>
      <c r="D3" s="5" t="inlineStr">
        <is>
          <t>Noches</t>
        </is>
      </c>
      <c r="E3" s="5" t="inlineStr">
        <is>
          <t>Tarifa/noche</t>
        </is>
      </c>
      <c r="F3" s="5" t="inlineStr">
        <is>
          <t>Cargos extra</t>
        </is>
      </c>
      <c r="G3" s="5" t="inlineStr">
        <is>
          <t>Comisión %</t>
        </is>
      </c>
      <c r="H3" s="5" t="inlineStr">
        <is>
          <t>Ingreso bruto</t>
        </is>
      </c>
      <c r="I3" s="5" t="inlineStr">
        <is>
          <t>Tu comisión</t>
        </is>
      </c>
      <c r="J3" s="5" t="inlineStr">
        <is>
          <t>Estado</t>
        </is>
      </c>
    </row>
    <row r="4">
      <c r="A4" s="6" t="inlineStr">
        <is>
          <t>2026-08-05</t>
        </is>
      </c>
      <c r="B4" s="6" t="inlineStr">
        <is>
          <t>Depto Centro 2R</t>
        </is>
      </c>
      <c r="C4" s="6" t="inlineStr">
        <is>
          <t>Carlos Ruiz</t>
        </is>
      </c>
      <c r="D4" s="18" t="n">
        <v>4</v>
      </c>
      <c r="E4" s="7" t="n">
        <v>80</v>
      </c>
      <c r="F4" s="7" t="n">
        <v>25</v>
      </c>
      <c r="G4" s="8" t="n">
        <v>0.2</v>
      </c>
      <c r="H4" s="10">
        <f>IF(D4="","",D4*E4+N(F4))</f>
        <v/>
      </c>
      <c r="I4" s="10">
        <f>IF(D4="","",H4*G4)</f>
        <v/>
      </c>
      <c r="J4" s="18" t="inlineStr">
        <is>
          <t>Confirmada</t>
        </is>
      </c>
    </row>
    <row r="5">
      <c r="A5" s="11" t="n"/>
      <c r="B5" s="11" t="n"/>
      <c r="C5" s="11" t="n"/>
      <c r="D5" s="19" t="n"/>
      <c r="E5" s="12" t="n"/>
      <c r="F5" s="12" t="n"/>
      <c r="G5" s="13" t="n"/>
      <c r="H5" s="15">
        <f>IF(D5="","",D5*E5+N(F5))</f>
        <v/>
      </c>
      <c r="I5" s="15">
        <f>IF(D5="","",H5*G5)</f>
        <v/>
      </c>
      <c r="J5" s="19" t="n"/>
    </row>
    <row r="6">
      <c r="A6" s="6" t="n"/>
      <c r="B6" s="6" t="n"/>
      <c r="C6" s="6" t="n"/>
      <c r="D6" s="18" t="n"/>
      <c r="E6" s="7" t="n"/>
      <c r="F6" s="7" t="n"/>
      <c r="G6" s="8" t="n"/>
      <c r="H6" s="10">
        <f>IF(D6="","",D6*E6+N(F6))</f>
        <v/>
      </c>
      <c r="I6" s="10">
        <f>IF(D6="","",H6*G6)</f>
        <v/>
      </c>
      <c r="J6" s="18" t="n"/>
    </row>
    <row r="7">
      <c r="A7" s="11" t="n"/>
      <c r="B7" s="11" t="n"/>
      <c r="C7" s="11" t="n"/>
      <c r="D7" s="19" t="n"/>
      <c r="E7" s="12" t="n"/>
      <c r="F7" s="12" t="n"/>
      <c r="G7" s="13" t="n"/>
      <c r="H7" s="15">
        <f>IF(D7="","",D7*E7+N(F7))</f>
        <v/>
      </c>
      <c r="I7" s="15">
        <f>IF(D7="","",H7*G7)</f>
        <v/>
      </c>
      <c r="J7" s="19" t="n"/>
    </row>
    <row r="8">
      <c r="A8" s="6" t="n"/>
      <c r="B8" s="6" t="n"/>
      <c r="C8" s="6" t="n"/>
      <c r="D8" s="18" t="n"/>
      <c r="E8" s="7" t="n"/>
      <c r="F8" s="7" t="n"/>
      <c r="G8" s="8" t="n"/>
      <c r="H8" s="10">
        <f>IF(D8="","",D8*E8+N(F8))</f>
        <v/>
      </c>
      <c r="I8" s="10">
        <f>IF(D8="","",H8*G8)</f>
        <v/>
      </c>
      <c r="J8" s="18" t="n"/>
    </row>
    <row r="9">
      <c r="A9" s="11" t="n"/>
      <c r="B9" s="11" t="n"/>
      <c r="C9" s="11" t="n"/>
      <c r="D9" s="19" t="n"/>
      <c r="E9" s="12" t="n"/>
      <c r="F9" s="12" t="n"/>
      <c r="G9" s="13" t="n"/>
      <c r="H9" s="15">
        <f>IF(D9="","",D9*E9+N(F9))</f>
        <v/>
      </c>
      <c r="I9" s="15">
        <f>IF(D9="","",H9*G9)</f>
        <v/>
      </c>
      <c r="J9" s="19" t="n"/>
    </row>
    <row r="10">
      <c r="A10" s="6" t="n"/>
      <c r="B10" s="6" t="n"/>
      <c r="C10" s="6" t="n"/>
      <c r="D10" s="18" t="n"/>
      <c r="E10" s="7" t="n"/>
      <c r="F10" s="7" t="n"/>
      <c r="G10" s="8" t="n"/>
      <c r="H10" s="10">
        <f>IF(D10="","",D10*E10+N(F10))</f>
        <v/>
      </c>
      <c r="I10" s="10">
        <f>IF(D10="","",H10*G10)</f>
        <v/>
      </c>
      <c r="J10" s="18" t="n"/>
    </row>
    <row r="11">
      <c r="A11" s="11" t="n"/>
      <c r="B11" s="11" t="n"/>
      <c r="C11" s="11" t="n"/>
      <c r="D11" s="19" t="n"/>
      <c r="E11" s="12" t="n"/>
      <c r="F11" s="12" t="n"/>
      <c r="G11" s="13" t="n"/>
      <c r="H11" s="15">
        <f>IF(D11="","",D11*E11+N(F11))</f>
        <v/>
      </c>
      <c r="I11" s="15">
        <f>IF(D11="","",H11*G11)</f>
        <v/>
      </c>
      <c r="J11" s="19" t="n"/>
    </row>
    <row r="12">
      <c r="A12" s="6" t="n"/>
      <c r="B12" s="6" t="n"/>
      <c r="C12" s="6" t="n"/>
      <c r="D12" s="18" t="n"/>
      <c r="E12" s="7" t="n"/>
      <c r="F12" s="7" t="n"/>
      <c r="G12" s="8" t="n"/>
      <c r="H12" s="10">
        <f>IF(D12="","",D12*E12+N(F12))</f>
        <v/>
      </c>
      <c r="I12" s="10">
        <f>IF(D12="","",H12*G12)</f>
        <v/>
      </c>
      <c r="J12" s="18" t="n"/>
    </row>
    <row r="13">
      <c r="A13" s="11" t="n"/>
      <c r="B13" s="11" t="n"/>
      <c r="C13" s="11" t="n"/>
      <c r="D13" s="19" t="n"/>
      <c r="E13" s="12" t="n"/>
      <c r="F13" s="12" t="n"/>
      <c r="G13" s="13" t="n"/>
      <c r="H13" s="15">
        <f>IF(D13="","",D13*E13+N(F13))</f>
        <v/>
      </c>
      <c r="I13" s="15">
        <f>IF(D13="","",H13*G13)</f>
        <v/>
      </c>
      <c r="J13" s="19" t="n"/>
    </row>
    <row r="14">
      <c r="A14" s="6" t="n"/>
      <c r="B14" s="6" t="n"/>
      <c r="C14" s="6" t="n"/>
      <c r="D14" s="18" t="n"/>
      <c r="E14" s="7" t="n"/>
      <c r="F14" s="7" t="n"/>
      <c r="G14" s="8" t="n"/>
      <c r="H14" s="10">
        <f>IF(D14="","",D14*E14+N(F14))</f>
        <v/>
      </c>
      <c r="I14" s="10">
        <f>IF(D14="","",H14*G14)</f>
        <v/>
      </c>
      <c r="J14" s="18" t="n"/>
    </row>
    <row r="15">
      <c r="A15" s="11" t="n"/>
      <c r="B15" s="11" t="n"/>
      <c r="C15" s="11" t="n"/>
      <c r="D15" s="19" t="n"/>
      <c r="E15" s="12" t="n"/>
      <c r="F15" s="12" t="n"/>
      <c r="G15" s="13" t="n"/>
      <c r="H15" s="15">
        <f>IF(D15="","",D15*E15+N(F15))</f>
        <v/>
      </c>
      <c r="I15" s="15">
        <f>IF(D15="","",H15*G15)</f>
        <v/>
      </c>
      <c r="J15" s="19" t="n"/>
    </row>
    <row r="16">
      <c r="A16" s="6" t="n"/>
      <c r="B16" s="6" t="n"/>
      <c r="C16" s="6" t="n"/>
      <c r="D16" s="18" t="n"/>
      <c r="E16" s="7" t="n"/>
      <c r="F16" s="7" t="n"/>
      <c r="G16" s="8" t="n"/>
      <c r="H16" s="10">
        <f>IF(D16="","",D16*E16+N(F16))</f>
        <v/>
      </c>
      <c r="I16" s="10">
        <f>IF(D16="","",H16*G16)</f>
        <v/>
      </c>
      <c r="J16" s="18" t="n"/>
    </row>
    <row r="17">
      <c r="A17" s="11" t="n"/>
      <c r="B17" s="11" t="n"/>
      <c r="C17" s="11" t="n"/>
      <c r="D17" s="19" t="n"/>
      <c r="E17" s="12" t="n"/>
      <c r="F17" s="12" t="n"/>
      <c r="G17" s="13" t="n"/>
      <c r="H17" s="15">
        <f>IF(D17="","",D17*E17+N(F17))</f>
        <v/>
      </c>
      <c r="I17" s="15">
        <f>IF(D17="","",H17*G17)</f>
        <v/>
      </c>
      <c r="J17" s="19" t="n"/>
    </row>
    <row r="18">
      <c r="A18" s="6" t="n"/>
      <c r="B18" s="6" t="n"/>
      <c r="C18" s="6" t="n"/>
      <c r="D18" s="18" t="n"/>
      <c r="E18" s="7" t="n"/>
      <c r="F18" s="7" t="n"/>
      <c r="G18" s="8" t="n"/>
      <c r="H18" s="10">
        <f>IF(D18="","",D18*E18+N(F18))</f>
        <v/>
      </c>
      <c r="I18" s="10">
        <f>IF(D18="","",H18*G18)</f>
        <v/>
      </c>
      <c r="J18" s="18" t="n"/>
    </row>
    <row r="19">
      <c r="A19" s="11" t="n"/>
      <c r="B19" s="11" t="n"/>
      <c r="C19" s="11" t="n"/>
      <c r="D19" s="19" t="n"/>
      <c r="E19" s="12" t="n"/>
      <c r="F19" s="12" t="n"/>
      <c r="G19" s="13" t="n"/>
      <c r="H19" s="15">
        <f>IF(D19="","",D19*E19+N(F19))</f>
        <v/>
      </c>
      <c r="I19" s="15">
        <f>IF(D19="","",H19*G19)</f>
        <v/>
      </c>
      <c r="J19" s="19" t="n"/>
    </row>
    <row r="20">
      <c r="A20" s="6" t="n"/>
      <c r="B20" s="6" t="n"/>
      <c r="C20" s="6" t="n"/>
      <c r="D20" s="18" t="n"/>
      <c r="E20" s="7" t="n"/>
      <c r="F20" s="7" t="n"/>
      <c r="G20" s="8" t="n"/>
      <c r="H20" s="10">
        <f>IF(D20="","",D20*E20+N(F20))</f>
        <v/>
      </c>
      <c r="I20" s="10">
        <f>IF(D20="","",H20*G20)</f>
        <v/>
      </c>
      <c r="J20" s="18" t="n"/>
    </row>
    <row r="21">
      <c r="A21" s="11" t="n"/>
      <c r="B21" s="11" t="n"/>
      <c r="C21" s="11" t="n"/>
      <c r="D21" s="19" t="n"/>
      <c r="E21" s="12" t="n"/>
      <c r="F21" s="12" t="n"/>
      <c r="G21" s="13" t="n"/>
      <c r="H21" s="15">
        <f>IF(D21="","",D21*E21+N(F21))</f>
        <v/>
      </c>
      <c r="I21" s="15">
        <f>IF(D21="","",H21*G21)</f>
        <v/>
      </c>
      <c r="J21" s="19" t="n"/>
    </row>
    <row r="22">
      <c r="A22" s="6" t="n"/>
      <c r="B22" s="6" t="n"/>
      <c r="C22" s="6" t="n"/>
      <c r="D22" s="18" t="n"/>
      <c r="E22" s="7" t="n"/>
      <c r="F22" s="7" t="n"/>
      <c r="G22" s="8" t="n"/>
      <c r="H22" s="10">
        <f>IF(D22="","",D22*E22+N(F22))</f>
        <v/>
      </c>
      <c r="I22" s="10">
        <f>IF(D22="","",H22*G22)</f>
        <v/>
      </c>
      <c r="J22" s="18" t="n"/>
    </row>
    <row r="23">
      <c r="A23" s="11" t="n"/>
      <c r="B23" s="11" t="n"/>
      <c r="C23" s="11" t="n"/>
      <c r="D23" s="19" t="n"/>
      <c r="E23" s="12" t="n"/>
      <c r="F23" s="12" t="n"/>
      <c r="G23" s="13" t="n"/>
      <c r="H23" s="15">
        <f>IF(D23="","",D23*E23+N(F23))</f>
        <v/>
      </c>
      <c r="I23" s="15">
        <f>IF(D23="","",H23*G23)</f>
        <v/>
      </c>
      <c r="J23" s="19" t="n"/>
    </row>
    <row r="24">
      <c r="A24" s="6" t="n"/>
      <c r="B24" s="6" t="n"/>
      <c r="C24" s="6" t="n"/>
      <c r="D24" s="18" t="n"/>
      <c r="E24" s="7" t="n"/>
      <c r="F24" s="7" t="n"/>
      <c r="G24" s="8" t="n"/>
      <c r="H24" s="10">
        <f>IF(D24="","",D24*E24+N(F24))</f>
        <v/>
      </c>
      <c r="I24" s="10">
        <f>IF(D24="","",H24*G24)</f>
        <v/>
      </c>
      <c r="J24" s="18" t="n"/>
    </row>
    <row r="25">
      <c r="A25" s="11" t="n"/>
      <c r="B25" s="11" t="n"/>
      <c r="C25" s="11" t="n"/>
      <c r="D25" s="19" t="n"/>
      <c r="E25" s="12" t="n"/>
      <c r="F25" s="12" t="n"/>
      <c r="G25" s="13" t="n"/>
      <c r="H25" s="15">
        <f>IF(D25="","",D25*E25+N(F25))</f>
        <v/>
      </c>
      <c r="I25" s="15">
        <f>IF(D25="","",H25*G25)</f>
        <v/>
      </c>
      <c r="J25" s="19" t="n"/>
    </row>
    <row r="26">
      <c r="A26" s="6" t="n"/>
      <c r="B26" s="6" t="n"/>
      <c r="C26" s="6" t="n"/>
      <c r="D26" s="18" t="n"/>
      <c r="E26" s="7" t="n"/>
      <c r="F26" s="7" t="n"/>
      <c r="G26" s="8" t="n"/>
      <c r="H26" s="10">
        <f>IF(D26="","",D26*E26+N(F26))</f>
        <v/>
      </c>
      <c r="I26" s="10">
        <f>IF(D26="","",H26*G26)</f>
        <v/>
      </c>
      <c r="J26" s="18" t="n"/>
    </row>
    <row r="27">
      <c r="A27" s="11" t="n"/>
      <c r="B27" s="11" t="n"/>
      <c r="C27" s="11" t="n"/>
      <c r="D27" s="19" t="n"/>
      <c r="E27" s="12" t="n"/>
      <c r="F27" s="12" t="n"/>
      <c r="G27" s="13" t="n"/>
      <c r="H27" s="15">
        <f>IF(D27="","",D27*E27+N(F27))</f>
        <v/>
      </c>
      <c r="I27" s="15">
        <f>IF(D27="","",H27*G27)</f>
        <v/>
      </c>
      <c r="J27" s="19" t="n"/>
    </row>
    <row r="28">
      <c r="A28" s="6" t="n"/>
      <c r="B28" s="6" t="n"/>
      <c r="C28" s="6" t="n"/>
      <c r="D28" s="18" t="n"/>
      <c r="E28" s="7" t="n"/>
      <c r="F28" s="7" t="n"/>
      <c r="G28" s="8" t="n"/>
      <c r="H28" s="10">
        <f>IF(D28="","",D28*E28+N(F28))</f>
        <v/>
      </c>
      <c r="I28" s="10">
        <f>IF(D28="","",H28*G28)</f>
        <v/>
      </c>
      <c r="J28" s="18" t="n"/>
    </row>
    <row r="29">
      <c r="A29" s="11" t="n"/>
      <c r="B29" s="11" t="n"/>
      <c r="C29" s="11" t="n"/>
      <c r="D29" s="19" t="n"/>
      <c r="E29" s="12" t="n"/>
      <c r="F29" s="12" t="n"/>
      <c r="G29" s="13" t="n"/>
      <c r="H29" s="15">
        <f>IF(D29="","",D29*E29+N(F29))</f>
        <v/>
      </c>
      <c r="I29" s="15">
        <f>IF(D29="","",H29*G29)</f>
        <v/>
      </c>
      <c r="J29" s="19" t="n"/>
    </row>
    <row r="30">
      <c r="A30" s="6" t="n"/>
      <c r="B30" s="6" t="n"/>
      <c r="C30" s="6" t="n"/>
      <c r="D30" s="18" t="n"/>
      <c r="E30" s="7" t="n"/>
      <c r="F30" s="7" t="n"/>
      <c r="G30" s="8" t="n"/>
      <c r="H30" s="10">
        <f>IF(D30="","",D30*E30+N(F30))</f>
        <v/>
      </c>
      <c r="I30" s="10">
        <f>IF(D30="","",H30*G30)</f>
        <v/>
      </c>
      <c r="J30" s="18" t="n"/>
    </row>
    <row r="31">
      <c r="A31" s="11" t="n"/>
      <c r="B31" s="11" t="n"/>
      <c r="C31" s="11" t="n"/>
      <c r="D31" s="19" t="n"/>
      <c r="E31" s="12" t="n"/>
      <c r="F31" s="12" t="n"/>
      <c r="G31" s="13" t="n"/>
      <c r="H31" s="15">
        <f>IF(D31="","",D31*E31+N(F31))</f>
        <v/>
      </c>
      <c r="I31" s="15">
        <f>IF(D31="","",H31*G31)</f>
        <v/>
      </c>
      <c r="J31" s="19" t="n"/>
    </row>
    <row r="32">
      <c r="A32" s="6" t="n"/>
      <c r="B32" s="6" t="n"/>
      <c r="C32" s="6" t="n"/>
      <c r="D32" s="18" t="n"/>
      <c r="E32" s="7" t="n"/>
      <c r="F32" s="7" t="n"/>
      <c r="G32" s="8" t="n"/>
      <c r="H32" s="10">
        <f>IF(D32="","",D32*E32+N(F32))</f>
        <v/>
      </c>
      <c r="I32" s="10">
        <f>IF(D32="","",H32*G32)</f>
        <v/>
      </c>
      <c r="J32" s="18" t="n"/>
    </row>
    <row r="33">
      <c r="A33" s="11" t="n"/>
      <c r="B33" s="11" t="n"/>
      <c r="C33" s="11" t="n"/>
      <c r="D33" s="19" t="n"/>
      <c r="E33" s="12" t="n"/>
      <c r="F33" s="12" t="n"/>
      <c r="G33" s="13" t="n"/>
      <c r="H33" s="15">
        <f>IF(D33="","",D33*E33+N(F33))</f>
        <v/>
      </c>
      <c r="I33" s="15">
        <f>IF(D33="","",H33*G33)</f>
        <v/>
      </c>
      <c r="J33" s="19" t="n"/>
    </row>
    <row r="34">
      <c r="A34" s="6" t="n"/>
      <c r="B34" s="6" t="n"/>
      <c r="C34" s="6" t="n"/>
      <c r="D34" s="18" t="n"/>
      <c r="E34" s="7" t="n"/>
      <c r="F34" s="7" t="n"/>
      <c r="G34" s="8" t="n"/>
      <c r="H34" s="10">
        <f>IF(D34="","",D34*E34+N(F34))</f>
        <v/>
      </c>
      <c r="I34" s="10">
        <f>IF(D34="","",H34*G34)</f>
        <v/>
      </c>
      <c r="J34" s="18" t="n"/>
    </row>
    <row r="35">
      <c r="A35" s="11" t="n"/>
      <c r="B35" s="11" t="n"/>
      <c r="C35" s="11" t="n"/>
      <c r="D35" s="19" t="n"/>
      <c r="E35" s="12" t="n"/>
      <c r="F35" s="12" t="n"/>
      <c r="G35" s="13" t="n"/>
      <c r="H35" s="15">
        <f>IF(D35="","",D35*E35+N(F35))</f>
        <v/>
      </c>
      <c r="I35" s="15">
        <f>IF(D35="","",H35*G35)</f>
        <v/>
      </c>
      <c r="J35" s="19" t="n"/>
    </row>
    <row r="36">
      <c r="A36" s="6" t="n"/>
      <c r="B36" s="6" t="n"/>
      <c r="C36" s="6" t="n"/>
      <c r="D36" s="18" t="n"/>
      <c r="E36" s="7" t="n"/>
      <c r="F36" s="7" t="n"/>
      <c r="G36" s="8" t="n"/>
      <c r="H36" s="10">
        <f>IF(D36="","",D36*E36+N(F36))</f>
        <v/>
      </c>
      <c r="I36" s="10">
        <f>IF(D36="","",H36*G36)</f>
        <v/>
      </c>
      <c r="J36" s="18" t="n"/>
    </row>
    <row r="37">
      <c r="A37" s="11" t="n"/>
      <c r="B37" s="11" t="n"/>
      <c r="C37" s="11" t="n"/>
      <c r="D37" s="19" t="n"/>
      <c r="E37" s="12" t="n"/>
      <c r="F37" s="12" t="n"/>
      <c r="G37" s="13" t="n"/>
      <c r="H37" s="15">
        <f>IF(D37="","",D37*E37+N(F37))</f>
        <v/>
      </c>
      <c r="I37" s="15">
        <f>IF(D37="","",H37*G37)</f>
        <v/>
      </c>
      <c r="J37" s="19" t="n"/>
    </row>
    <row r="38">
      <c r="A38" s="6" t="n"/>
      <c r="B38" s="6" t="n"/>
      <c r="C38" s="6" t="n"/>
      <c r="D38" s="18" t="n"/>
      <c r="E38" s="7" t="n"/>
      <c r="F38" s="7" t="n"/>
      <c r="G38" s="8" t="n"/>
      <c r="H38" s="10">
        <f>IF(D38="","",D38*E38+N(F38))</f>
        <v/>
      </c>
      <c r="I38" s="10">
        <f>IF(D38="","",H38*G38)</f>
        <v/>
      </c>
      <c r="J38" s="18" t="n"/>
    </row>
    <row r="39">
      <c r="A39" s="11" t="n"/>
      <c r="B39" s="11" t="n"/>
      <c r="C39" s="11" t="n"/>
      <c r="D39" s="19" t="n"/>
      <c r="E39" s="12" t="n"/>
      <c r="F39" s="12" t="n"/>
      <c r="G39" s="13" t="n"/>
      <c r="H39" s="15">
        <f>IF(D39="","",D39*E39+N(F39))</f>
        <v/>
      </c>
      <c r="I39" s="15">
        <f>IF(D39="","",H39*G39)</f>
        <v/>
      </c>
      <c r="J39" s="19" t="n"/>
    </row>
    <row r="40">
      <c r="A40" s="6" t="n"/>
      <c r="B40" s="6" t="n"/>
      <c r="C40" s="6" t="n"/>
      <c r="D40" s="18" t="n"/>
      <c r="E40" s="7" t="n"/>
      <c r="F40" s="7" t="n"/>
      <c r="G40" s="8" t="n"/>
      <c r="H40" s="10">
        <f>IF(D40="","",D40*E40+N(F40))</f>
        <v/>
      </c>
      <c r="I40" s="10">
        <f>IF(D40="","",H40*G40)</f>
        <v/>
      </c>
      <c r="J40" s="18" t="n"/>
    </row>
    <row r="41">
      <c r="A41" s="11" t="n"/>
      <c r="B41" s="11" t="n"/>
      <c r="C41" s="11" t="n"/>
      <c r="D41" s="19" t="n"/>
      <c r="E41" s="12" t="n"/>
      <c r="F41" s="12" t="n"/>
      <c r="G41" s="13" t="n"/>
      <c r="H41" s="15">
        <f>IF(D41="","",D41*E41+N(F41))</f>
        <v/>
      </c>
      <c r="I41" s="15">
        <f>IF(D41="","",H41*G41)</f>
        <v/>
      </c>
      <c r="J41" s="19" t="n"/>
    </row>
    <row r="42">
      <c r="A42" s="6" t="n"/>
      <c r="B42" s="6" t="n"/>
      <c r="C42" s="6" t="n"/>
      <c r="D42" s="18" t="n"/>
      <c r="E42" s="7" t="n"/>
      <c r="F42" s="7" t="n"/>
      <c r="G42" s="8" t="n"/>
      <c r="H42" s="10">
        <f>IF(D42="","",D42*E42+N(F42))</f>
        <v/>
      </c>
      <c r="I42" s="10">
        <f>IF(D42="","",H42*G42)</f>
        <v/>
      </c>
      <c r="J42" s="18" t="n"/>
    </row>
    <row r="43">
      <c r="A43" s="11" t="n"/>
      <c r="B43" s="11" t="n"/>
      <c r="C43" s="11" t="n"/>
      <c r="D43" s="19" t="n"/>
      <c r="E43" s="12" t="n"/>
      <c r="F43" s="12" t="n"/>
      <c r="G43" s="13" t="n"/>
      <c r="H43" s="15">
        <f>IF(D43="","",D43*E43+N(F43))</f>
        <v/>
      </c>
      <c r="I43" s="15">
        <f>IF(D43="","",H43*G43)</f>
        <v/>
      </c>
      <c r="J43" s="19" t="n"/>
    </row>
    <row r="44">
      <c r="A44" s="6" t="n"/>
      <c r="B44" s="6" t="n"/>
      <c r="C44" s="6" t="n"/>
      <c r="D44" s="18" t="n"/>
      <c r="E44" s="7" t="n"/>
      <c r="F44" s="7" t="n"/>
      <c r="G44" s="8" t="n"/>
      <c r="H44" s="10">
        <f>IF(D44="","",D44*E44+N(F44))</f>
        <v/>
      </c>
      <c r="I44" s="10">
        <f>IF(D44="","",H44*G44)</f>
        <v/>
      </c>
      <c r="J44" s="18" t="n"/>
    </row>
    <row r="45">
      <c r="A45" s="11" t="n"/>
      <c r="B45" s="11" t="n"/>
      <c r="C45" s="11" t="n"/>
      <c r="D45" s="19" t="n"/>
      <c r="E45" s="12" t="n"/>
      <c r="F45" s="12" t="n"/>
      <c r="G45" s="13" t="n"/>
      <c r="H45" s="15">
        <f>IF(D45="","",D45*E45+N(F45))</f>
        <v/>
      </c>
      <c r="I45" s="15">
        <f>IF(D45="","",H45*G45)</f>
        <v/>
      </c>
      <c r="J45" s="19" t="n"/>
    </row>
    <row r="46">
      <c r="A46" s="6" t="n"/>
      <c r="B46" s="6" t="n"/>
      <c r="C46" s="6" t="n"/>
      <c r="D46" s="18" t="n"/>
      <c r="E46" s="7" t="n"/>
      <c r="F46" s="7" t="n"/>
      <c r="G46" s="8" t="n"/>
      <c r="H46" s="10">
        <f>IF(D46="","",D46*E46+N(F46))</f>
        <v/>
      </c>
      <c r="I46" s="10">
        <f>IF(D46="","",H46*G46)</f>
        <v/>
      </c>
      <c r="J46" s="18" t="n"/>
    </row>
    <row r="47">
      <c r="A47" s="11" t="n"/>
      <c r="B47" s="11" t="n"/>
      <c r="C47" s="11" t="n"/>
      <c r="D47" s="19" t="n"/>
      <c r="E47" s="12" t="n"/>
      <c r="F47" s="12" t="n"/>
      <c r="G47" s="13" t="n"/>
      <c r="H47" s="15">
        <f>IF(D47="","",D47*E47+N(F47))</f>
        <v/>
      </c>
      <c r="I47" s="15">
        <f>IF(D47="","",H47*G47)</f>
        <v/>
      </c>
      <c r="J47" s="19" t="n"/>
    </row>
    <row r="48">
      <c r="A48" s="6" t="n"/>
      <c r="B48" s="6" t="n"/>
      <c r="C48" s="6" t="n"/>
      <c r="D48" s="18" t="n"/>
      <c r="E48" s="7" t="n"/>
      <c r="F48" s="7" t="n"/>
      <c r="G48" s="8" t="n"/>
      <c r="H48" s="10">
        <f>IF(D48="","",D48*E48+N(F48))</f>
        <v/>
      </c>
      <c r="I48" s="10">
        <f>IF(D48="","",H48*G48)</f>
        <v/>
      </c>
      <c r="J48" s="18" t="n"/>
    </row>
    <row r="49">
      <c r="A49" s="11" t="n"/>
      <c r="B49" s="11" t="n"/>
      <c r="C49" s="11" t="n"/>
      <c r="D49" s="19" t="n"/>
      <c r="E49" s="12" t="n"/>
      <c r="F49" s="12" t="n"/>
      <c r="G49" s="13" t="n"/>
      <c r="H49" s="15">
        <f>IF(D49="","",D49*E49+N(F49))</f>
        <v/>
      </c>
      <c r="I49" s="15">
        <f>IF(D49="","",H49*G49)</f>
        <v/>
      </c>
      <c r="J49" s="19" t="n"/>
    </row>
    <row r="50">
      <c r="A50" s="6" t="n"/>
      <c r="B50" s="6" t="n"/>
      <c r="C50" s="6" t="n"/>
      <c r="D50" s="18" t="n"/>
      <c r="E50" s="7" t="n"/>
      <c r="F50" s="7" t="n"/>
      <c r="G50" s="8" t="n"/>
      <c r="H50" s="10">
        <f>IF(D50="","",D50*E50+N(F50))</f>
        <v/>
      </c>
      <c r="I50" s="10">
        <f>IF(D50="","",H50*G50)</f>
        <v/>
      </c>
      <c r="J50" s="18" t="n"/>
    </row>
    <row r="51">
      <c r="A51" s="11" t="n"/>
      <c r="B51" s="11" t="n"/>
      <c r="C51" s="11" t="n"/>
      <c r="D51" s="19" t="n"/>
      <c r="E51" s="12" t="n"/>
      <c r="F51" s="12" t="n"/>
      <c r="G51" s="13" t="n"/>
      <c r="H51" s="15">
        <f>IF(D51="","",D51*E51+N(F51))</f>
        <v/>
      </c>
      <c r="I51" s="15">
        <f>IF(D51="","",H51*G51)</f>
        <v/>
      </c>
      <c r="J51" s="19" t="n"/>
    </row>
    <row r="52">
      <c r="A52" s="6" t="n"/>
      <c r="B52" s="6" t="n"/>
      <c r="C52" s="6" t="n"/>
      <c r="D52" s="18" t="n"/>
      <c r="E52" s="7" t="n"/>
      <c r="F52" s="7" t="n"/>
      <c r="G52" s="8" t="n"/>
      <c r="H52" s="10">
        <f>IF(D52="","",D52*E52+N(F52))</f>
        <v/>
      </c>
      <c r="I52" s="10">
        <f>IF(D52="","",H52*G52)</f>
        <v/>
      </c>
      <c r="J52" s="18" t="n"/>
    </row>
    <row r="53">
      <c r="A53" s="11" t="n"/>
      <c r="B53" s="11" t="n"/>
      <c r="C53" s="11" t="n"/>
      <c r="D53" s="19" t="n"/>
      <c r="E53" s="12" t="n"/>
      <c r="F53" s="12" t="n"/>
      <c r="G53" s="13" t="n"/>
      <c r="H53" s="15">
        <f>IF(D53="","",D53*E53+N(F53))</f>
        <v/>
      </c>
      <c r="I53" s="15">
        <f>IF(D53="","",H53*G53)</f>
        <v/>
      </c>
      <c r="J53" s="19" t="n"/>
    </row>
    <row r="54">
      <c r="A54" s="6" t="n"/>
      <c r="B54" s="6" t="n"/>
      <c r="C54" s="6" t="n"/>
      <c r="D54" s="18" t="n"/>
      <c r="E54" s="7" t="n"/>
      <c r="F54" s="7" t="n"/>
      <c r="G54" s="8" t="n"/>
      <c r="H54" s="10">
        <f>IF(D54="","",D54*E54+N(F54))</f>
        <v/>
      </c>
      <c r="I54" s="10">
        <f>IF(D54="","",H54*G54)</f>
        <v/>
      </c>
      <c r="J54" s="18" t="n"/>
    </row>
    <row r="55">
      <c r="A55" s="11" t="n"/>
      <c r="B55" s="11" t="n"/>
      <c r="C55" s="11" t="n"/>
      <c r="D55" s="19" t="n"/>
      <c r="E55" s="12" t="n"/>
      <c r="F55" s="12" t="n"/>
      <c r="G55" s="13" t="n"/>
      <c r="H55" s="15">
        <f>IF(D55="","",D55*E55+N(F55))</f>
        <v/>
      </c>
      <c r="I55" s="15">
        <f>IF(D55="","",H55*G55)</f>
        <v/>
      </c>
      <c r="J55" s="19" t="n"/>
    </row>
    <row r="56">
      <c r="A56" s="6" t="n"/>
      <c r="B56" s="6" t="n"/>
      <c r="C56" s="6" t="n"/>
      <c r="D56" s="18" t="n"/>
      <c r="E56" s="7" t="n"/>
      <c r="F56" s="7" t="n"/>
      <c r="G56" s="8" t="n"/>
      <c r="H56" s="10">
        <f>IF(D56="","",D56*E56+N(F56))</f>
        <v/>
      </c>
      <c r="I56" s="10">
        <f>IF(D56="","",H56*G56)</f>
        <v/>
      </c>
      <c r="J56" s="18" t="n"/>
    </row>
    <row r="57">
      <c r="A57" s="11" t="n"/>
      <c r="B57" s="11" t="n"/>
      <c r="C57" s="11" t="n"/>
      <c r="D57" s="19" t="n"/>
      <c r="E57" s="12" t="n"/>
      <c r="F57" s="12" t="n"/>
      <c r="G57" s="13" t="n"/>
      <c r="H57" s="15">
        <f>IF(D57="","",D57*E57+N(F57))</f>
        <v/>
      </c>
      <c r="I57" s="15">
        <f>IF(D57="","",H57*G57)</f>
        <v/>
      </c>
      <c r="J57" s="19" t="n"/>
    </row>
    <row r="58">
      <c r="A58" s="6" t="n"/>
      <c r="B58" s="6" t="n"/>
      <c r="C58" s="6" t="n"/>
      <c r="D58" s="18" t="n"/>
      <c r="E58" s="7" t="n"/>
      <c r="F58" s="7" t="n"/>
      <c r="G58" s="8" t="n"/>
      <c r="H58" s="10">
        <f>IF(D58="","",D58*E58+N(F58))</f>
        <v/>
      </c>
      <c r="I58" s="10">
        <f>IF(D58="","",H58*G58)</f>
        <v/>
      </c>
      <c r="J58" s="18" t="n"/>
    </row>
    <row r="59">
      <c r="A59" s="11" t="n"/>
      <c r="B59" s="11" t="n"/>
      <c r="C59" s="11" t="n"/>
      <c r="D59" s="19" t="n"/>
      <c r="E59" s="12" t="n"/>
      <c r="F59" s="12" t="n"/>
      <c r="G59" s="13" t="n"/>
      <c r="H59" s="15">
        <f>IF(D59="","",D59*E59+N(F59))</f>
        <v/>
      </c>
      <c r="I59" s="15">
        <f>IF(D59="","",H59*G59)</f>
        <v/>
      </c>
      <c r="J59" s="19" t="n"/>
    </row>
    <row r="60">
      <c r="A60" s="6" t="n"/>
      <c r="B60" s="6" t="n"/>
      <c r="C60" s="6" t="n"/>
      <c r="D60" s="18" t="n"/>
      <c r="E60" s="7" t="n"/>
      <c r="F60" s="7" t="n"/>
      <c r="G60" s="8" t="n"/>
      <c r="H60" s="10">
        <f>IF(D60="","",D60*E60+N(F60))</f>
        <v/>
      </c>
      <c r="I60" s="10">
        <f>IF(D60="","",H60*G60)</f>
        <v/>
      </c>
      <c r="J60" s="18" t="n"/>
    </row>
    <row r="61">
      <c r="A61" s="11" t="n"/>
      <c r="B61" s="11" t="n"/>
      <c r="C61" s="11" t="n"/>
      <c r="D61" s="19" t="n"/>
      <c r="E61" s="12" t="n"/>
      <c r="F61" s="12" t="n"/>
      <c r="G61" s="13" t="n"/>
      <c r="H61" s="15">
        <f>IF(D61="","",D61*E61+N(F61))</f>
        <v/>
      </c>
      <c r="I61" s="15">
        <f>IF(D61="","",H61*G61)</f>
        <v/>
      </c>
      <c r="J61" s="19" t="n"/>
    </row>
    <row r="62">
      <c r="A62" s="6" t="n"/>
      <c r="B62" s="6" t="n"/>
      <c r="C62" s="6" t="n"/>
      <c r="D62" s="18" t="n"/>
      <c r="E62" s="7" t="n"/>
      <c r="F62" s="7" t="n"/>
      <c r="G62" s="8" t="n"/>
      <c r="H62" s="10">
        <f>IF(D62="","",D62*E62+N(F62))</f>
        <v/>
      </c>
      <c r="I62" s="10">
        <f>IF(D62="","",H62*G62)</f>
        <v/>
      </c>
      <c r="J62" s="18" t="n"/>
    </row>
    <row r="63">
      <c r="A63" s="11" t="n"/>
      <c r="B63" s="11" t="n"/>
      <c r="C63" s="11" t="n"/>
      <c r="D63" s="19" t="n"/>
      <c r="E63" s="12" t="n"/>
      <c r="F63" s="12" t="n"/>
      <c r="G63" s="13" t="n"/>
      <c r="H63" s="15">
        <f>IF(D63="","",D63*E63+N(F63))</f>
        <v/>
      </c>
      <c r="I63" s="15">
        <f>IF(D63="","",H63*G63)</f>
        <v/>
      </c>
      <c r="J63" s="19" t="n"/>
    </row>
  </sheetData>
  <mergeCells count="1">
    <mergeCell ref="A1:J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43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18" customWidth="1" min="2" max="2"/>
    <col width="12" customWidth="1" min="3" max="3"/>
    <col width="16" customWidth="1" min="4" max="4"/>
  </cols>
  <sheetData>
    <row r="1">
      <c r="A1" s="1" t="inlineStr">
        <is>
          <t>Resumen del negocio</t>
        </is>
      </c>
    </row>
    <row r="2">
      <c r="A2" s="2" t="inlineStr">
        <is>
          <t>Se actualiza solo a partir de Propiedades y Reservas</t>
        </is>
      </c>
    </row>
    <row r="4">
      <c r="A4" s="20" t="inlineStr">
        <is>
          <t>Comisión real ganada</t>
        </is>
      </c>
      <c r="B4" s="21">
        <f>SUMIFS(Reservas!I4:I63,Reservas!J4:J63,"&lt;&gt;Cancelada")</f>
        <v/>
      </c>
    </row>
    <row r="5">
      <c r="A5" s="20" t="inlineStr">
        <is>
          <t>Ingreso bruto gestionado</t>
        </is>
      </c>
      <c r="B5" s="21">
        <f>SUMIFS(Reservas!H4:H63,Reservas!J4:J63,"&lt;&gt;Cancelada")</f>
        <v/>
      </c>
    </row>
    <row r="6">
      <c r="A6" s="20" t="inlineStr">
        <is>
          <t>Comisión proyectada / mes</t>
        </is>
      </c>
      <c r="B6" s="22">
        <f>SUM(Propiedades!J4:J33)</f>
        <v/>
      </c>
    </row>
    <row r="7">
      <c r="A7" s="20" t="inlineStr">
        <is>
          <t>Comisión proyectada / año</t>
        </is>
      </c>
      <c r="B7" s="22">
        <f>B6*12</f>
        <v/>
      </c>
    </row>
    <row r="8">
      <c r="A8" s="20" t="inlineStr">
        <is>
          <t>Propiedades registradas</t>
        </is>
      </c>
      <c r="B8" s="23">
        <f>COUNTA(Propiedades!A4:A33)</f>
        <v/>
      </c>
    </row>
    <row r="9">
      <c r="A9" s="20" t="inlineStr">
        <is>
          <t>Reservas registradas</t>
        </is>
      </c>
      <c r="B9" s="23">
        <f>COUNTA(Reservas!A4:A63)</f>
        <v/>
      </c>
    </row>
    <row r="12">
      <c r="A12" s="3" t="inlineStr">
        <is>
          <t>Comisión real por propiedad</t>
        </is>
      </c>
    </row>
    <row r="13">
      <c r="A13" s="5" t="inlineStr">
        <is>
          <t>Propiedad</t>
        </is>
      </c>
      <c r="B13" s="5" t="inlineStr">
        <is>
          <t>Comisión ganada</t>
        </is>
      </c>
      <c r="C13" s="5" t="inlineStr">
        <is>
          <t>Reservas</t>
        </is>
      </c>
    </row>
    <row r="14">
      <c r="A14" s="24">
        <f>IF(Propiedades!A4="","",Propiedades!A4)</f>
        <v/>
      </c>
      <c r="B14" s="10">
        <f>IF(Propiedades!A4="","",SUMIFS(Reservas!I4:I63,Reservas!B4:B63,Propiedades!A4,Reservas!J4:J63,"&lt;&gt;Cancelada"))</f>
        <v/>
      </c>
      <c r="C14" s="25">
        <f>IF(Propiedades!A4="","",COUNTIFS(Reservas!B4:B63,Propiedades!A4))</f>
        <v/>
      </c>
    </row>
    <row r="15">
      <c r="A15" s="26">
        <f>IF(Propiedades!A5="","",Propiedades!A5)</f>
        <v/>
      </c>
      <c r="B15" s="15">
        <f>IF(Propiedades!A5="","",SUMIFS(Reservas!I4:I63,Reservas!B4:B63,Propiedades!A5,Reservas!J4:J63,"&lt;&gt;Cancelada"))</f>
        <v/>
      </c>
      <c r="C15" s="27">
        <f>IF(Propiedades!A5="","",COUNTIFS(Reservas!B4:B63,Propiedades!A5))</f>
        <v/>
      </c>
    </row>
    <row r="16">
      <c r="A16" s="24">
        <f>IF(Propiedades!A6="","",Propiedades!A6)</f>
        <v/>
      </c>
      <c r="B16" s="10">
        <f>IF(Propiedades!A6="","",SUMIFS(Reservas!I4:I63,Reservas!B4:B63,Propiedades!A6,Reservas!J4:J63,"&lt;&gt;Cancelada"))</f>
        <v/>
      </c>
      <c r="C16" s="25">
        <f>IF(Propiedades!A6="","",COUNTIFS(Reservas!B4:B63,Propiedades!A6))</f>
        <v/>
      </c>
    </row>
    <row r="17">
      <c r="A17" s="26">
        <f>IF(Propiedades!A7="","",Propiedades!A7)</f>
        <v/>
      </c>
      <c r="B17" s="15">
        <f>IF(Propiedades!A7="","",SUMIFS(Reservas!I4:I63,Reservas!B4:B63,Propiedades!A7,Reservas!J4:J63,"&lt;&gt;Cancelada"))</f>
        <v/>
      </c>
      <c r="C17" s="27">
        <f>IF(Propiedades!A7="","",COUNTIFS(Reservas!B4:B63,Propiedades!A7))</f>
        <v/>
      </c>
    </row>
    <row r="18">
      <c r="A18" s="24">
        <f>IF(Propiedades!A8="","",Propiedades!A8)</f>
        <v/>
      </c>
      <c r="B18" s="10">
        <f>IF(Propiedades!A8="","",SUMIFS(Reservas!I4:I63,Reservas!B4:B63,Propiedades!A8,Reservas!J4:J63,"&lt;&gt;Cancelada"))</f>
        <v/>
      </c>
      <c r="C18" s="25">
        <f>IF(Propiedades!A8="","",COUNTIFS(Reservas!B4:B63,Propiedades!A8))</f>
        <v/>
      </c>
    </row>
    <row r="19">
      <c r="A19" s="26">
        <f>IF(Propiedades!A9="","",Propiedades!A9)</f>
        <v/>
      </c>
      <c r="B19" s="15">
        <f>IF(Propiedades!A9="","",SUMIFS(Reservas!I4:I63,Reservas!B4:B63,Propiedades!A9,Reservas!J4:J63,"&lt;&gt;Cancelada"))</f>
        <v/>
      </c>
      <c r="C19" s="27">
        <f>IF(Propiedades!A9="","",COUNTIFS(Reservas!B4:B63,Propiedades!A9))</f>
        <v/>
      </c>
    </row>
    <row r="20">
      <c r="A20" s="24">
        <f>IF(Propiedades!A10="","",Propiedades!A10)</f>
        <v/>
      </c>
      <c r="B20" s="10">
        <f>IF(Propiedades!A10="","",SUMIFS(Reservas!I4:I63,Reservas!B4:B63,Propiedades!A10,Reservas!J4:J63,"&lt;&gt;Cancelada"))</f>
        <v/>
      </c>
      <c r="C20" s="25">
        <f>IF(Propiedades!A10="","",COUNTIFS(Reservas!B4:B63,Propiedades!A10))</f>
        <v/>
      </c>
    </row>
    <row r="21">
      <c r="A21" s="26">
        <f>IF(Propiedades!A11="","",Propiedades!A11)</f>
        <v/>
      </c>
      <c r="B21" s="15">
        <f>IF(Propiedades!A11="","",SUMIFS(Reservas!I4:I63,Reservas!B4:B63,Propiedades!A11,Reservas!J4:J63,"&lt;&gt;Cancelada"))</f>
        <v/>
      </c>
      <c r="C21" s="27">
        <f>IF(Propiedades!A11="","",COUNTIFS(Reservas!B4:B63,Propiedades!A11))</f>
        <v/>
      </c>
    </row>
    <row r="22">
      <c r="A22" s="24">
        <f>IF(Propiedades!A12="","",Propiedades!A12)</f>
        <v/>
      </c>
      <c r="B22" s="10">
        <f>IF(Propiedades!A12="","",SUMIFS(Reservas!I4:I63,Reservas!B4:B63,Propiedades!A12,Reservas!J4:J63,"&lt;&gt;Cancelada"))</f>
        <v/>
      </c>
      <c r="C22" s="25">
        <f>IF(Propiedades!A12="","",COUNTIFS(Reservas!B4:B63,Propiedades!A12))</f>
        <v/>
      </c>
    </row>
    <row r="23">
      <c r="A23" s="26">
        <f>IF(Propiedades!A13="","",Propiedades!A13)</f>
        <v/>
      </c>
      <c r="B23" s="15">
        <f>IF(Propiedades!A13="","",SUMIFS(Reservas!I4:I63,Reservas!B4:B63,Propiedades!A13,Reservas!J4:J63,"&lt;&gt;Cancelada"))</f>
        <v/>
      </c>
      <c r="C23" s="27">
        <f>IF(Propiedades!A13="","",COUNTIFS(Reservas!B4:B63,Propiedades!A13))</f>
        <v/>
      </c>
    </row>
    <row r="24">
      <c r="A24" s="24">
        <f>IF(Propiedades!A14="","",Propiedades!A14)</f>
        <v/>
      </c>
      <c r="B24" s="10">
        <f>IF(Propiedades!A14="","",SUMIFS(Reservas!I4:I63,Reservas!B4:B63,Propiedades!A14,Reservas!J4:J63,"&lt;&gt;Cancelada"))</f>
        <v/>
      </c>
      <c r="C24" s="25">
        <f>IF(Propiedades!A14="","",COUNTIFS(Reservas!B4:B63,Propiedades!A14))</f>
        <v/>
      </c>
    </row>
    <row r="25">
      <c r="A25" s="26">
        <f>IF(Propiedades!A15="","",Propiedades!A15)</f>
        <v/>
      </c>
      <c r="B25" s="15">
        <f>IF(Propiedades!A15="","",SUMIFS(Reservas!I4:I63,Reservas!B4:B63,Propiedades!A15,Reservas!J4:J63,"&lt;&gt;Cancelada"))</f>
        <v/>
      </c>
      <c r="C25" s="27">
        <f>IF(Propiedades!A15="","",COUNTIFS(Reservas!B4:B63,Propiedades!A15))</f>
        <v/>
      </c>
    </row>
    <row r="26">
      <c r="A26" s="24">
        <f>IF(Propiedades!A16="","",Propiedades!A16)</f>
        <v/>
      </c>
      <c r="B26" s="10">
        <f>IF(Propiedades!A16="","",SUMIFS(Reservas!I4:I63,Reservas!B4:B63,Propiedades!A16,Reservas!J4:J63,"&lt;&gt;Cancelada"))</f>
        <v/>
      </c>
      <c r="C26" s="25">
        <f>IF(Propiedades!A16="","",COUNTIFS(Reservas!B4:B63,Propiedades!A16))</f>
        <v/>
      </c>
    </row>
    <row r="27">
      <c r="A27" s="26">
        <f>IF(Propiedades!A17="","",Propiedades!A17)</f>
        <v/>
      </c>
      <c r="B27" s="15">
        <f>IF(Propiedades!A17="","",SUMIFS(Reservas!I4:I63,Reservas!B4:B63,Propiedades!A17,Reservas!J4:J63,"&lt;&gt;Cancelada"))</f>
        <v/>
      </c>
      <c r="C27" s="27">
        <f>IF(Propiedades!A17="","",COUNTIFS(Reservas!B4:B63,Propiedades!A17))</f>
        <v/>
      </c>
    </row>
    <row r="28">
      <c r="A28" s="24">
        <f>IF(Propiedades!A18="","",Propiedades!A18)</f>
        <v/>
      </c>
      <c r="B28" s="10">
        <f>IF(Propiedades!A18="","",SUMIFS(Reservas!I4:I63,Reservas!B4:B63,Propiedades!A18,Reservas!J4:J63,"&lt;&gt;Cancelada"))</f>
        <v/>
      </c>
      <c r="C28" s="25">
        <f>IF(Propiedades!A18="","",COUNTIFS(Reservas!B4:B63,Propiedades!A18))</f>
        <v/>
      </c>
    </row>
    <row r="29">
      <c r="A29" s="26">
        <f>IF(Propiedades!A19="","",Propiedades!A19)</f>
        <v/>
      </c>
      <c r="B29" s="15">
        <f>IF(Propiedades!A19="","",SUMIFS(Reservas!I4:I63,Reservas!B4:B63,Propiedades!A19,Reservas!J4:J63,"&lt;&gt;Cancelada"))</f>
        <v/>
      </c>
      <c r="C29" s="27">
        <f>IF(Propiedades!A19="","",COUNTIFS(Reservas!B4:B63,Propiedades!A19))</f>
        <v/>
      </c>
    </row>
    <row r="30">
      <c r="A30" s="24">
        <f>IF(Propiedades!A20="","",Propiedades!A20)</f>
        <v/>
      </c>
      <c r="B30" s="10">
        <f>IF(Propiedades!A20="","",SUMIFS(Reservas!I4:I63,Reservas!B4:B63,Propiedades!A20,Reservas!J4:J63,"&lt;&gt;Cancelada"))</f>
        <v/>
      </c>
      <c r="C30" s="25">
        <f>IF(Propiedades!A20="","",COUNTIFS(Reservas!B4:B63,Propiedades!A20))</f>
        <v/>
      </c>
    </row>
    <row r="31">
      <c r="A31" s="26">
        <f>IF(Propiedades!A21="","",Propiedades!A21)</f>
        <v/>
      </c>
      <c r="B31" s="15">
        <f>IF(Propiedades!A21="","",SUMIFS(Reservas!I4:I63,Reservas!B4:B63,Propiedades!A21,Reservas!J4:J63,"&lt;&gt;Cancelada"))</f>
        <v/>
      </c>
      <c r="C31" s="27">
        <f>IF(Propiedades!A21="","",COUNTIFS(Reservas!B4:B63,Propiedades!A21))</f>
        <v/>
      </c>
    </row>
    <row r="32">
      <c r="A32" s="24">
        <f>IF(Propiedades!A22="","",Propiedades!A22)</f>
        <v/>
      </c>
      <c r="B32" s="10">
        <f>IF(Propiedades!A22="","",SUMIFS(Reservas!I4:I63,Reservas!B4:B63,Propiedades!A22,Reservas!J4:J63,"&lt;&gt;Cancelada"))</f>
        <v/>
      </c>
      <c r="C32" s="25">
        <f>IF(Propiedades!A22="","",COUNTIFS(Reservas!B4:B63,Propiedades!A22))</f>
        <v/>
      </c>
    </row>
    <row r="33">
      <c r="A33" s="26">
        <f>IF(Propiedades!A23="","",Propiedades!A23)</f>
        <v/>
      </c>
      <c r="B33" s="15">
        <f>IF(Propiedades!A23="","",SUMIFS(Reservas!I4:I63,Reservas!B4:B63,Propiedades!A23,Reservas!J4:J63,"&lt;&gt;Cancelada"))</f>
        <v/>
      </c>
      <c r="C33" s="27">
        <f>IF(Propiedades!A23="","",COUNTIFS(Reservas!B4:B63,Propiedades!A23))</f>
        <v/>
      </c>
    </row>
    <row r="34">
      <c r="A34" s="24">
        <f>IF(Propiedades!A24="","",Propiedades!A24)</f>
        <v/>
      </c>
      <c r="B34" s="10">
        <f>IF(Propiedades!A24="","",SUMIFS(Reservas!I4:I63,Reservas!B4:B63,Propiedades!A24,Reservas!J4:J63,"&lt;&gt;Cancelada"))</f>
        <v/>
      </c>
      <c r="C34" s="25">
        <f>IF(Propiedades!A24="","",COUNTIFS(Reservas!B4:B63,Propiedades!A24))</f>
        <v/>
      </c>
    </row>
    <row r="35">
      <c r="A35" s="26">
        <f>IF(Propiedades!A25="","",Propiedades!A25)</f>
        <v/>
      </c>
      <c r="B35" s="15">
        <f>IF(Propiedades!A25="","",SUMIFS(Reservas!I4:I63,Reservas!B4:B63,Propiedades!A25,Reservas!J4:J63,"&lt;&gt;Cancelada"))</f>
        <v/>
      </c>
      <c r="C35" s="27">
        <f>IF(Propiedades!A25="","",COUNTIFS(Reservas!B4:B63,Propiedades!A25))</f>
        <v/>
      </c>
    </row>
    <row r="36">
      <c r="A36" s="24">
        <f>IF(Propiedades!A26="","",Propiedades!A26)</f>
        <v/>
      </c>
      <c r="B36" s="10">
        <f>IF(Propiedades!A26="","",SUMIFS(Reservas!I4:I63,Reservas!B4:B63,Propiedades!A26,Reservas!J4:J63,"&lt;&gt;Cancelada"))</f>
        <v/>
      </c>
      <c r="C36" s="25">
        <f>IF(Propiedades!A26="","",COUNTIFS(Reservas!B4:B63,Propiedades!A26))</f>
        <v/>
      </c>
    </row>
    <row r="37">
      <c r="A37" s="26">
        <f>IF(Propiedades!A27="","",Propiedades!A27)</f>
        <v/>
      </c>
      <c r="B37" s="15">
        <f>IF(Propiedades!A27="","",SUMIFS(Reservas!I4:I63,Reservas!B4:B63,Propiedades!A27,Reservas!J4:J63,"&lt;&gt;Cancelada"))</f>
        <v/>
      </c>
      <c r="C37" s="27">
        <f>IF(Propiedades!A27="","",COUNTIFS(Reservas!B4:B63,Propiedades!A27))</f>
        <v/>
      </c>
    </row>
    <row r="38">
      <c r="A38" s="24">
        <f>IF(Propiedades!A28="","",Propiedades!A28)</f>
        <v/>
      </c>
      <c r="B38" s="10">
        <f>IF(Propiedades!A28="","",SUMIFS(Reservas!I4:I63,Reservas!B4:B63,Propiedades!A28,Reservas!J4:J63,"&lt;&gt;Cancelada"))</f>
        <v/>
      </c>
      <c r="C38" s="25">
        <f>IF(Propiedades!A28="","",COUNTIFS(Reservas!B4:B63,Propiedades!A28))</f>
        <v/>
      </c>
    </row>
    <row r="39">
      <c r="A39" s="26">
        <f>IF(Propiedades!A29="","",Propiedades!A29)</f>
        <v/>
      </c>
      <c r="B39" s="15">
        <f>IF(Propiedades!A29="","",SUMIFS(Reservas!I4:I63,Reservas!B4:B63,Propiedades!A29,Reservas!J4:J63,"&lt;&gt;Cancelada"))</f>
        <v/>
      </c>
      <c r="C39" s="27">
        <f>IF(Propiedades!A29="","",COUNTIFS(Reservas!B4:B63,Propiedades!A29))</f>
        <v/>
      </c>
    </row>
    <row r="40">
      <c r="A40" s="24">
        <f>IF(Propiedades!A30="","",Propiedades!A30)</f>
        <v/>
      </c>
      <c r="B40" s="10">
        <f>IF(Propiedades!A30="","",SUMIFS(Reservas!I4:I63,Reservas!B4:B63,Propiedades!A30,Reservas!J4:J63,"&lt;&gt;Cancelada"))</f>
        <v/>
      </c>
      <c r="C40" s="25">
        <f>IF(Propiedades!A30="","",COUNTIFS(Reservas!B4:B63,Propiedades!A30))</f>
        <v/>
      </c>
    </row>
    <row r="41">
      <c r="A41" s="26">
        <f>IF(Propiedades!A31="","",Propiedades!A31)</f>
        <v/>
      </c>
      <c r="B41" s="15">
        <f>IF(Propiedades!A31="","",SUMIFS(Reservas!I4:I63,Reservas!B4:B63,Propiedades!A31,Reservas!J4:J63,"&lt;&gt;Cancelada"))</f>
        <v/>
      </c>
      <c r="C41" s="27">
        <f>IF(Propiedades!A31="","",COUNTIFS(Reservas!B4:B63,Propiedades!A31))</f>
        <v/>
      </c>
    </row>
    <row r="42">
      <c r="A42" s="24">
        <f>IF(Propiedades!A32="","",Propiedades!A32)</f>
        <v/>
      </c>
      <c r="B42" s="10">
        <f>IF(Propiedades!A32="","",SUMIFS(Reservas!I4:I63,Reservas!B4:B63,Propiedades!A32,Reservas!J4:J63,"&lt;&gt;Cancelada"))</f>
        <v/>
      </c>
      <c r="C42" s="25">
        <f>IF(Propiedades!A32="","",COUNTIFS(Reservas!B4:B63,Propiedades!A32))</f>
        <v/>
      </c>
    </row>
    <row r="43">
      <c r="A43" s="26">
        <f>IF(Propiedades!A33="","",Propiedades!A33)</f>
        <v/>
      </c>
      <c r="B43" s="15">
        <f>IF(Propiedades!A33="","",SUMIFS(Reservas!I4:I63,Reservas!B4:B63,Propiedades!A33,Reservas!J4:J63,"&lt;&gt;Cancelada"))</f>
        <v/>
      </c>
      <c r="C43" s="27">
        <f>IF(Propiedades!A33="","",COUNTIFS(Reservas!B4:B63,Propiedades!A33))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2026-08-01T06:00:45Z</dcterms:created>
  <dcterms:modified xmlns:dcterms="http://purl.org/dc/terms/" xmlns:xsi="http://www.w3.org/2001/XMLSchema-instance" xsi:type="dcterms:W3CDTF">2026-08-01T06:01:32Z</dcterms:modified>
</cp:coreProperties>
</file>